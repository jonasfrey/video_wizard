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module\hf-informatik\WEB2\05_Projekt\"/>
    </mc:Choice>
  </mc:AlternateContent>
  <xr:revisionPtr revIDLastSave="0" documentId="13_ncr:1_{86CB7488-4246-4D0D-8575-41842CE6E86E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WEB2" sheetId="1" r:id="rId1"/>
    <sheet name="LB2" sheetId="2" r:id="rId2"/>
    <sheet name="Kriteri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2" l="1"/>
  <c r="E33" i="2"/>
  <c r="C14" i="1" s="1"/>
  <c r="D14" i="1" s="1"/>
  <c r="C33" i="2"/>
  <c r="E26" i="2"/>
  <c r="C13" i="1" s="1"/>
  <c r="D13" i="1" s="1"/>
  <c r="C26" i="2"/>
  <c r="E14" i="2"/>
  <c r="C12" i="1" s="1"/>
  <c r="D12" i="1" s="1"/>
  <c r="C14" i="2"/>
  <c r="E6" i="2"/>
  <c r="C6" i="2"/>
  <c r="B15" i="1"/>
  <c r="C11" i="1"/>
  <c r="C15" i="1" l="1"/>
  <c r="D15" i="1" s="1"/>
  <c r="E35" i="2"/>
  <c r="E37" i="2" s="1"/>
  <c r="B18" i="1" s="1"/>
  <c r="D11" i="1"/>
</calcChain>
</file>

<file path=xl/sharedStrings.xml><?xml version="1.0" encoding="utf-8"?>
<sst xmlns="http://schemas.openxmlformats.org/spreadsheetml/2006/main" count="256" uniqueCount="174">
  <si>
    <t>Bewertungsraster WEB2</t>
  </si>
  <si>
    <t>Projektinformationen</t>
  </si>
  <si>
    <t>Projekt:</t>
  </si>
  <si>
    <t>Name 1:</t>
  </si>
  <si>
    <t>Name 2:</t>
  </si>
  <si>
    <t>Name 3:</t>
  </si>
  <si>
    <t>Bewertungsübersicht</t>
  </si>
  <si>
    <t>Kategorie</t>
  </si>
  <si>
    <t>Max. Punkte</t>
  </si>
  <si>
    <t>Erreicht</t>
  </si>
  <si>
    <t>Prozent</t>
  </si>
  <si>
    <t>Projekteingabe</t>
  </si>
  <si>
    <t>Kurzdokumentation</t>
  </si>
  <si>
    <t>Technische Umsetzung</t>
  </si>
  <si>
    <t>Livedemonstration</t>
  </si>
  <si>
    <t>Total</t>
  </si>
  <si>
    <t>Endnote</t>
  </si>
  <si>
    <t>Note LB2 (50%):</t>
  </si>
  <si>
    <t>Notenberechnung: (Punkte / 80) × 5 + 1</t>
  </si>
  <si>
    <t>Bewertungsraster LB2 – SPA-Projekt</t>
  </si>
  <si>
    <t>Projekteingabe (5 Punkte)</t>
  </si>
  <si>
    <t>Kriterium</t>
  </si>
  <si>
    <t>Nachweis</t>
  </si>
  <si>
    <t>Max.</t>
  </si>
  <si>
    <t>Gew.</t>
  </si>
  <si>
    <t>Bemerkungen</t>
  </si>
  <si>
    <t>Vollständigkeit &amp; Qualität</t>
  </si>
  <si>
    <t>PDF per Teams</t>
  </si>
  <si>
    <t>Zwischentotal</t>
  </si>
  <si>
    <t>Kurzdokumentation (20 Punkte)</t>
  </si>
  <si>
    <t>Anforderungen &amp; Zielerreichung</t>
  </si>
  <si>
    <t>Dokumentation PDF</t>
  </si>
  <si>
    <t>Technische Dokumentation</t>
  </si>
  <si>
    <t>Visualisierungen</t>
  </si>
  <si>
    <t>Fazit &amp; Lessons Learned</t>
  </si>
  <si>
    <t>Technische Umsetzung (40 Punkte)</t>
  </si>
  <si>
    <t>Codestruktur &amp; README</t>
  </si>
  <si>
    <t>GitLab Repository</t>
  </si>
  <si>
    <t>Komponentenarchitektur</t>
  </si>
  <si>
    <t>Routing</t>
  </si>
  <si>
    <t>State-Management</t>
  </si>
  <si>
    <t>Funktionalität</t>
  </si>
  <si>
    <t>UI/UX Design</t>
  </si>
  <si>
    <t>Responsive Design</t>
  </si>
  <si>
    <t>Git-Workflow</t>
  </si>
  <si>
    <t>Livedemonstration (15 Punkte)</t>
  </si>
  <si>
    <t>Präsentation &amp; Demo</t>
  </si>
  <si>
    <t>Teams Präsentation</t>
  </si>
  <si>
    <t>Vortragsweise</t>
  </si>
  <si>
    <t>Technisches Verständnis</t>
  </si>
  <si>
    <t>TOTAL</t>
  </si>
  <si>
    <t>NOTE LB2</t>
  </si>
  <si>
    <t>Bewertungsskala: 5 = Hervorragend, 4 = Gut, 3 = Genügend, 2 = Ungenügend, 1 = Schlecht, 0 = Nicht vorhanden</t>
  </si>
  <si>
    <t>Detaillierte Kriterienbeschreibungen: siehe Blatt "Kriterien"</t>
  </si>
  <si>
    <t>Bewertungskriterien LB2 - SPA-Projekt</t>
  </si>
  <si>
    <t>5 Punkte</t>
  </si>
  <si>
    <t>4 Punkte</t>
  </si>
  <si>
    <t>3 Punkte</t>
  </si>
  <si>
    <t>2 Punkte</t>
  </si>
  <si>
    <t>1 Punkt</t>
  </si>
  <si>
    <t>0 Punkte</t>
  </si>
  <si>
    <t>Alle 7 Elemente vorhanden; mindestens 3 SMART-Ziele vollständig formuliert; mindestens 5 konkrete Anforderungen/Features definiert</t>
  </si>
  <si>
    <t>Alle 7 Elemente vorhanden; mindestens 2 SMART-Ziele; mindestens 3 Anforderungen definiert</t>
  </si>
  <si>
    <t>Mindestens 5 von 7 Elementen vorhanden; mindestens 1 messbares Ziel; Anforderungen nur grob umrissen</t>
  </si>
  <si>
    <t>3 bis 4 Elemente vorhanden; keine messbaren Ziele; Anforderungen unklar oder fehlend</t>
  </si>
  <si>
    <t>Nur 1 bis 2 Elemente vorhanden; keine erkennbare Struktur</t>
  </si>
  <si>
    <t>Nicht abgegeben oder verspätet</t>
  </si>
  <si>
    <t>100% der Anforderungen aus Projekteingabe einzeln aufgeführt mit Status (erreicht/teilweise/nicht erreicht); Abweichungen mit Begründung dokumentiert</t>
  </si>
  <si>
    <t>Mindestens 80% der Anforderungen abgeglichen; Abweichungen grösstenteils begründet</t>
  </si>
  <si>
    <t>Mindestens 50% der Anforderungen erwähnt; Begründungen bei Abweichungen fehlen teilweise</t>
  </si>
  <si>
    <t>Unter 50% der Anforderungen erwähnt; keine Begründungen bei Abweichungen</t>
  </si>
  <si>
    <t>Kaum Bezug zur Projekteingabe; keine systematische Überprüfung erkennbar</t>
  </si>
  <si>
    <t>Abschnitt fehlt vollständig</t>
  </si>
  <si>
    <t>Alle 4 Aspekte (Architektur, Komponenten, Routing, State) dokumentiert; Komponentendiagramm oder Komponentenliste vorhanden; Datenfluss beschrieben</t>
  </si>
  <si>
    <t>Mindestens 3 von 4 Aspekten dokumentiert; Zusammenhänge erkennbar</t>
  </si>
  <si>
    <t>Mindestens 2 von 4 Aspekten dokumentiert; oberflächliche Beschreibung</t>
  </si>
  <si>
    <t>Nur 1 Aspekt dokumentiert; keine Zusammenhänge erkennbar</t>
  </si>
  <si>
    <t>Technische Beschreibung fast vollständig fehlend; nur Stichworte</t>
  </si>
  <si>
    <t>Mindestens 2 Wireframes/Mockups für Hauptansichten; mindestens 1 technisches Diagramm (Komponenten, Architektur oder Datenfluss); professionelle Darstellung</t>
  </si>
  <si>
    <t>Mindestens 1 Wireframe/Mockup und 1 Diagramm vorhanden; verständlich dargestellt</t>
  </si>
  <si>
    <t>Mindestens 1 Visualisierung vorhanden; wenig aussagekräftig oder unprofessionell</t>
  </si>
  <si>
    <t>Nur Screenshots ohne Kontext oder Erklärung; keine eigenen Visualisierungen erstellt</t>
  </si>
  <si>
    <t>Unbrauchbare oder unleserliche Visualisierungen</t>
  </si>
  <si>
    <t>Keine Visualisierungen vorhanden</t>
  </si>
  <si>
    <t>Mindestens 3 konkrete Herausforderungen beschrieben mit Lösungsweg; persönliche Erkenntnisse formuliert; Verbesserungsvorschläge für zukünftige Projekte</t>
  </si>
  <si>
    <t>Mindestens 2 konkrete Herausforderungen mit Lösungsansatz; Reflexion vorhanden</t>
  </si>
  <si>
    <t>Mindestens 1 Herausforderung erwähnt; oberflächliche Reflexion ohne konkrete Beispiele</t>
  </si>
  <si>
    <t>Keine konkreten Herausforderungen; nur allgemeine Aussagen ohne Projektbezug</t>
  </si>
  <si>
    <t>Nur Floskeln; kein erkennbares Fazit</t>
  </si>
  <si>
    <t>Einheitliche Formatierung (Linter konfiguriert); sprechende Variablen und Funktionsnamen; logische Ordnerstruktur; README vollständig: Projektbeschreibung, Voraussetzungen, Installationsschritte, Start-Befehl, Konfiguration externer Abhängigkeiten inkl. Beispiel .env; keine API-Keys im Code</t>
  </si>
  <si>
    <t>Überwiegend einheitlich; README mit Installationsanleitung vorhanden; externe Abhängigkeiten erwähnt, aber Einrichtung nicht vollständig beschrieben</t>
  </si>
  <si>
    <t>Grundstruktur erkennbar; inkonsistente Formatierung; README unvollständig; Projekt nicht ohne Rückfragen lauffähig</t>
  </si>
  <si>
    <t>Chaotische Struktur; README vorhanden aber unbrauchbar; API-Keys oder Secrets im Code gefunden</t>
  </si>
  <si>
    <t>Keine erkennbare Struktur; README fehlt oder ist leer; Code schwer nachvollziehbar</t>
  </si>
  <si>
    <t>Kein Code abgegeben oder Code nicht ausführbar</t>
  </si>
  <si>
    <t>Mindestens 5 sinnvoll aufgeteilte Komponenten; keine Komponente über 300 Zeilen; Props und Events/Emits korrekt für Datenaustausch verwendet; mindestens 1 wiederverwendete Komponente</t>
  </si>
  <si>
    <t>Mindestens 3 Komponenten; Aufteilung grösstenteils sinnvoll; vereinzelt zu grosse Komponenten (über 400 Zeilen)</t>
  </si>
  <si>
    <t>Komponenten vorhanden; Aufteilung wenig durchdacht; Vermischung von Verantwortlichkeiten; kaum Wiederverwendung</t>
  </si>
  <si>
    <t>Nur 1 bis 2 Komponenten; keine sinnvolle Aufteilung; fast alles in einer Datei</t>
  </si>
  <si>
    <t>Keine Komponentenstruktur erkennbar; monolithischer Code</t>
  </si>
  <si>
    <t>Keine Komponenten vorhanden</t>
  </si>
  <si>
    <t>Mindestens 4 verschiedene Routes; funktionierende Navigation (Links/Buttons); Deep Links funktionieren (direkter URL-Aufruf); 404-Seite für unbekannte Routen</t>
  </si>
  <si>
    <t>Mindestens 3 Routes; Navigation funktioniert; Deep Links funktionieren; kein 404-Handling</t>
  </si>
  <si>
    <t>Mindestens 2 Routes; Navigation funktioniert teilweise; Deep Links funktionieren nicht oder Routing-Fehler</t>
  </si>
  <si>
    <t>Nur 1 Route; Navigation fehlerhaft; Seiten nicht erreichbar</t>
  </si>
  <si>
    <t>Routing implementiert aber vollständig defekt</t>
  </si>
  <si>
    <t>Kein Routing vorhanden</t>
  </si>
  <si>
    <t>Globaler Store sinnvoll eingesetzt (z.B. Pinia, Vuex, Redux) ODER bewusste, begründete Entscheidung gegen globalen Store in Dokumentation festgehalten; klare Trennung von lokalem und globalem State; mindestens 2 verschiedene State-Bereiche</t>
  </si>
  <si>
    <t>Store vorhanden; Verwendung grösstenteils sinnvoll; vereinzelt globaler State für rein lokale Daten</t>
  </si>
  <si>
    <t>Kein zentraler Store ohne Begründung; State-Verwaltung unübersichtlich oder inkonsistent</t>
  </si>
  <si>
    <t>State-Verwaltung chaotisch; Daten gehen bei Navigation verloren; keine Konsistenz</t>
  </si>
  <si>
    <t>Kein erkennbares State-Management; Anwendung verhält sich unvorhersehbar</t>
  </si>
  <si>
    <t>State-Management nicht vorhanden; Anwendung nicht funktionsfähig</t>
  </si>
  <si>
    <t>100% der in Projekteingabe definierten Hauptfeatures funktionieren fehlerfrei</t>
  </si>
  <si>
    <t>Mindestens 80% der Hauptfeatures funktionieren; kleinere Bugs, die Nutzung nicht wesentlich beeinträchtigen</t>
  </si>
  <si>
    <t>Mindestens 60% der Hauptfeatures funktionieren; grössere Bugs oder fehlende Kernfunktionen</t>
  </si>
  <si>
    <t>30 bis 60% der Hauptfeatures funktionieren; kritische Bugs vorhanden</t>
  </si>
  <si>
    <t>Unter 30% der Hauptfeatures funktionieren; Anwendung kaum nutzbar</t>
  </si>
  <si>
    <t>Anwendung startet nicht oder keine Features implementiert</t>
  </si>
  <si>
    <t>Konsistentes Farbschema (maximal 3 bis 4 Hauptfarben); einheitliche Abstände und Schriftgrössen; klare visuelle Hierarchie; intuitive Navigation (maximal 2 Klicks zu Hauptfunktionen); Ladezustände und Fehlermeldungen vorhanden</t>
  </si>
  <si>
    <t>Grösstenteils konsistentes Design; kleinere Inkonsistenzen bei Abständen oder Farben; Navigation verständlich</t>
  </si>
  <si>
    <t>Grundlegendes Design vorhanden; inkonsistente Gestaltung; Navigation teilweise verwirrend; keine Ladezustände</t>
  </si>
  <si>
    <t>Kein erkennbares Designkonzept; verwirrende Navigation; keine Benutzerführung</t>
  </si>
  <si>
    <t>Unbenutzbare Oberfläche; grundlegende UI-Elemente fehlen oder sind defekt</t>
  </si>
  <si>
    <t>Keine UI vorhanden oder Anwendung nicht bedienbar</t>
  </si>
  <si>
    <t>Mobile-First-Ansatz oder optimierte Darstellung für mindestens 3 Breakpoints (Mobile bis 768px, Tablet bis 1024px, Desktop über 1024px); keine horizontalen Scrollbalken; Touch-freundliche Interaktionselemente (mindestens 44px Zielgrösse)</t>
  </si>
  <si>
    <t>Funktioniert auf Mobile und Desktop; kleinere Darstellungsprobleme auf einem Breakpoint; Inhalte lesbar</t>
  </si>
  <si>
    <t>Nur für Desktop optimiert oder grössere Layout-Probleme auf Mobile; horizontales Scrollen nötig</t>
  </si>
  <si>
    <t>Auf Mobile nicht nutzbar; Inhalte abgeschnitten oder überlagert; Buttons nicht klickbar</t>
  </si>
  <si>
    <t>Layout komplett defekt auf mindestens einem Gerät</t>
  </si>
  <si>
    <t>Keine Anpassung für verschiedene Bildschirmgrössen; nur auf einem Gerät nutzbar</t>
  </si>
  <si>
    <t>Sinnvolle Branch-Strategie (mindestens Dev-Branch oder Feature-Branches); alle Gruppenmitglieder haben Commits (sichtbar in Git-Log); mindestens 80% der Commits mit aussagekräftiger Message</t>
  </si>
  <si>
    <t>Nachvollziehbare History; alle haben mindestens 3 Commits; Commit-Messages meist verständlich</t>
  </si>
  <si>
    <t>Nur Main-Branch; ungleiche Verteilung (eine Person unter 20% der Commits); nichtssagende Messages (z.B. "fix", "update")</t>
  </si>
  <si>
    <t>Weniger als 5 Commits total; eine Person hat fast alles commitet; keine sinnvollen Messages</t>
  </si>
  <si>
    <t>Nur 1 bis 2 Commits; kein nachvollziehbarer Workflow; Code vermutlich am Ende hochgeladen</t>
  </si>
  <si>
    <t>Kein Git verwendet oder Repository leer/nicht zugänglich</t>
  </si>
  <si>
    <t>Alle Hauptfeatures live vorgeführt; klarer roter Faden (Einleitung, Demo, Schluss); Zeitrahmen eingehalten (15 bis 20 Minuten, ±2 Minuten)</t>
  </si>
  <si>
    <t>Mindestens 80% der Features gezeigt; erkennbare Struktur; Zeit leicht über oder unterschritten (±5 Minuten)</t>
  </si>
  <si>
    <t>Nur Grundfunktionen gezeigt; kein klarer Aufbau; Zeit stark verfehlt (über 5 Minuten Abweichung)</t>
  </si>
  <si>
    <t>Unter 50% der Features gezeigt; keine erkennbare Struktur; technische Probleme nicht gelöst</t>
  </si>
  <si>
    <t>Kaum Features gezeigt; Präsentation unter 5 Minuten oder abgebrochen</t>
  </si>
  <si>
    <t>Nicht erschienen oder keine Demo möglich</t>
  </si>
  <si>
    <t>Alle Gruppenmitglieder sprechen mindestens 3 Minuten; freie Rede (kein Ablesen); flüssiger Vortrag ohne längere Pausen; Blickkontakt mit Kamera</t>
  </si>
  <si>
    <t>Alle beteiligt (mindestens 2 Minuten pro Person); grösstenteils frei; gelegentliches Stocken oder Ablesen</t>
  </si>
  <si>
    <t>Ungleiche Beteiligung (eine Person unter 1 Minute); stark abgelesen; häufiges Stocken; lange Pausen</t>
  </si>
  <si>
    <t>Nur eine Person spricht; komplett abgelesen; viele lange Pausen; kein Blickkontakt</t>
  </si>
  <si>
    <t>Kaum verständlicher Vortrag; keine Vorbereitung erkennbar</t>
  </si>
  <si>
    <t>Kein Vortrag gehalten</t>
  </si>
  <si>
    <t>Kann alle Architektur-Entscheidungen begründen; beantwortet mindestens 3 Rückfragen korrekt und ausführlich; versteht den gesamten Code der Gruppe</t>
  </si>
  <si>
    <t>Kann die meisten Entscheidungen erklären; beantwortet mindestens 2 Rückfragen korrekt; kennt den eigenen Code gut</t>
  </si>
  <si>
    <t>Kann nur oberflächlich erklären; Schwierigkeiten bei Rückfragen; kennt nur Teile des Codes</t>
  </si>
  <si>
    <t>Kann kaum Fragen beantworten; versteht eigenen Code nicht vollständig</t>
  </si>
  <si>
    <t>Kann keine Fragen beantworten; kein technisches Verständnis erkennbar</t>
  </si>
  <si>
    <t>Nicht anwesend oder verweigert Antworten</t>
  </si>
  <si>
    <t>Bonuspunkte (bis zu 5 Punkte)</t>
  </si>
  <si>
    <t>Bonus</t>
  </si>
  <si>
    <t>Punkte</t>
  </si>
  <si>
    <t>Beschreibung</t>
  </si>
  <si>
    <t>Backend-Integration</t>
  </si>
  <si>
    <t>+2 Punkte</t>
  </si>
  <si>
    <t>Eigene API aus PROG2/PROG3 angebunden</t>
  </si>
  <si>
    <t>Deployment</t>
  </si>
  <si>
    <t>+1 Punkt</t>
  </si>
  <si>
    <t>z.B. Vercel, Netlify, GitHub Pages</t>
  </si>
  <si>
    <t>CI/CD-Pipeline</t>
  </si>
  <si>
    <t>z.B. GitLab CI konfiguriert</t>
  </si>
  <si>
    <t>Besonderer Projektumfang</t>
  </si>
  <si>
    <t>Innovative Features oder überdurchschnittlicher Umfang</t>
  </si>
  <si>
    <t>Accessibility (a11y)</t>
  </si>
  <si>
    <t>Semantisches HTML, ARIA-Labels, Tastaturnavigation</t>
  </si>
  <si>
    <t>Testing</t>
  </si>
  <si>
    <t>Mindestens 3 Unit- oder Komponententests implementiert</t>
  </si>
  <si>
    <t>Maximale Gesamtpunktzahl bleibt 80 (Note 6.0). Bonuspunkte können fehlende Punkte kompensieren.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</si>
</sst>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m/d/yyyy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sz val="11"/>
      <name val="Cambria"/>
      <charset val="1"/>
    </font>
    <font>
      <b/>
      <sz val="12"/>
      <name val="Cambria"/>
      <charset val="1"/>
    </font>
    <font>
      <b/>
      <sz val="10"/>
      <name val="Cambria"/>
      <charset val="1"/>
    </font>
    <font>
      <sz val="10"/>
      <name val="Cambria"/>
      <charset val="1"/>
    </font>
    <font>
      <b/>
      <sz val="11"/>
      <name val="Cambria"/>
      <charset val="1"/>
    </font>
    <font>
      <b/>
      <sz val="18"/>
      <name val="Cambria"/>
      <charset val="1"/>
    </font>
    <font>
      <i/>
      <sz val="9"/>
      <color rgb="FF666666"/>
      <name val="Cambria"/>
      <charset val="1"/>
    </font>
    <font>
      <b/>
      <sz val="14"/>
      <color rgb="FFFFFFFF"/>
      <name val="Cambria"/>
      <charset val="1"/>
    </font>
    <font>
      <b/>
      <sz val="16"/>
      <name val="Cambria"/>
      <charset val="1"/>
    </font>
    <font>
      <b/>
      <sz val="14"/>
      <name val="Cambria"/>
      <charset val="1"/>
    </font>
    <font>
      <b/>
      <sz val="9"/>
      <name val="Cambria"/>
      <charset val="1"/>
    </font>
    <font>
      <sz val="8"/>
      <name val="Cambria"/>
      <charset val="1"/>
    </font>
    <font>
      <sz val="9"/>
      <name val="Cambria"/>
      <charset val="1"/>
    </font>
    <font>
      <i/>
      <sz val="10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2E86AB"/>
        <bgColor rgb="FF008080"/>
      </patternFill>
    </fill>
    <fill>
      <patternFill patternType="solid">
        <fgColor rgb="FFD6EAF8"/>
        <bgColor rgb="FFD4EDDA"/>
      </patternFill>
    </fill>
    <fill>
      <patternFill patternType="solid">
        <fgColor rgb="FFE8E8E8"/>
        <bgColor rgb="FFD6EAF8"/>
      </patternFill>
    </fill>
    <fill>
      <patternFill patternType="solid">
        <fgColor rgb="FFFFFEF0"/>
        <bgColor rgb="FFFFFFFF"/>
      </patternFill>
    </fill>
    <fill>
      <patternFill patternType="solid">
        <fgColor rgb="FFF5F5F5"/>
        <bgColor rgb="FFFFFEF0"/>
      </patternFill>
    </fill>
    <fill>
      <patternFill patternType="solid">
        <fgColor rgb="FFC6EFCE"/>
        <bgColor rgb="FFD4EDDA"/>
      </patternFill>
    </fill>
    <fill>
      <patternFill patternType="solid">
        <fgColor rgb="FFD4EDDA"/>
        <bgColor rgb="FFC6EFCE"/>
      </patternFill>
    </fill>
    <fill>
      <patternFill patternType="solid">
        <fgColor rgb="FFFFF3CD"/>
        <bgColor rgb="FFFFE5D0"/>
      </patternFill>
    </fill>
    <fill>
      <patternFill patternType="solid">
        <fgColor rgb="FFFFE5D0"/>
        <bgColor rgb="FFFFF3CD"/>
      </patternFill>
    </fill>
    <fill>
      <patternFill patternType="solid">
        <fgColor rgb="FFF8D7DA"/>
        <bgColor rgb="FFFFE5D0"/>
      </patternFill>
    </fill>
    <fill>
      <patternFill patternType="solid">
        <fgColor rgb="FFD3D3D3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4" fillId="4" borderId="1" xfId="0" applyFont="1" applyFill="1" applyBorder="1" applyAlignment="1">
      <alignment horizontal="right" vertical="center"/>
    </xf>
    <xf numFmtId="0" fontId="2" fillId="5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0" xfId="0" applyFont="1"/>
    <xf numFmtId="165" fontId="2" fillId="0" borderId="0" xfId="0" applyNumberFormat="1" applyFont="1"/>
    <xf numFmtId="1" fontId="4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/>
    <xf numFmtId="165" fontId="2" fillId="3" borderId="0" xfId="0" applyNumberFormat="1" applyFont="1" applyFill="1"/>
    <xf numFmtId="1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0" fillId="0" borderId="0" xfId="0" applyFont="1"/>
    <xf numFmtId="0" fontId="11" fillId="3" borderId="0" xfId="0" applyFont="1" applyFill="1"/>
    <xf numFmtId="0" fontId="0" fillId="3" borderId="0" xfId="0" applyFill="1"/>
    <xf numFmtId="0" fontId="4" fillId="4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14" fillId="0" borderId="1" xfId="0" applyFont="1" applyBorder="1"/>
    <xf numFmtId="0" fontId="14" fillId="0" borderId="1" xfId="0" applyFont="1" applyBorder="1" applyAlignment="1">
      <alignment horizontal="center" vertical="top" wrapText="1"/>
    </xf>
    <xf numFmtId="0" fontId="1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8E8"/>
      <rgbColor rgb="FF808080"/>
      <rgbColor rgb="FF9999FF"/>
      <rgbColor rgb="FF993366"/>
      <rgbColor rgb="FFFFF3CD"/>
      <rgbColor rgb="FFD6EAF8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DDA"/>
      <rgbColor rgb="FFC6EFCE"/>
      <rgbColor rgb="FFFFE5D0"/>
      <rgbColor rgb="FFF5F5F5"/>
      <rgbColor rgb="FFFFFEF0"/>
      <rgbColor rgb="FFCC99FF"/>
      <rgbColor rgb="FFF8D7DA"/>
      <rgbColor rgb="FF3366FF"/>
      <rgbColor rgb="FF33CCCC"/>
      <rgbColor rgb="FF92D050"/>
      <rgbColor rgb="FFFFCC00"/>
      <rgbColor rgb="FFFF9900"/>
      <rgbColor rgb="FFED7D31"/>
      <rgbColor rgb="FF666666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F29"/>
  <sheetViews>
    <sheetView tabSelected="1" zoomScaleNormal="100" workbookViewId="0">
      <selection activeCell="J10" sqref="J10"/>
    </sheetView>
  </sheetViews>
  <sheetFormatPr baseColWidth="10" defaultColWidth="10.6328125" defaultRowHeight="14.5" x14ac:dyDescent="0.35"/>
  <cols>
    <col min="1" max="1" width="28.7265625" customWidth="1"/>
    <col min="2" max="2" width="35" customWidth="1"/>
    <col min="3" max="5" width="12" customWidth="1"/>
    <col min="6" max="6" width="48.1796875" customWidth="1"/>
  </cols>
  <sheetData>
    <row r="1" spans="1:6" ht="47" customHeight="1" x14ac:dyDescent="0.35">
      <c r="A1" s="1" t="s">
        <v>0</v>
      </c>
      <c r="B1" s="2"/>
      <c r="C1" s="2"/>
      <c r="D1" s="2"/>
      <c r="E1" s="2"/>
      <c r="F1" s="3"/>
    </row>
    <row r="2" spans="1:6" ht="15" customHeight="1" x14ac:dyDescent="0.35">
      <c r="A2" s="3"/>
      <c r="B2" s="3"/>
      <c r="C2" s="3"/>
      <c r="D2" s="3"/>
      <c r="E2" s="3"/>
      <c r="F2" s="3"/>
    </row>
    <row r="3" spans="1:6" ht="21.75" customHeight="1" x14ac:dyDescent="0.35">
      <c r="A3" s="4" t="s">
        <v>1</v>
      </c>
      <c r="B3" s="5"/>
      <c r="C3" s="5"/>
      <c r="D3" s="5"/>
      <c r="E3" s="5"/>
      <c r="F3" s="3"/>
    </row>
    <row r="4" spans="1:6" ht="15" customHeight="1" x14ac:dyDescent="0.35">
      <c r="A4" s="6" t="s">
        <v>2</v>
      </c>
      <c r="B4" s="7"/>
      <c r="C4" s="3"/>
      <c r="D4" s="3"/>
      <c r="E4" s="3"/>
      <c r="F4" s="3"/>
    </row>
    <row r="5" spans="1:6" ht="15" customHeight="1" x14ac:dyDescent="0.35">
      <c r="A5" s="6" t="s">
        <v>3</v>
      </c>
      <c r="B5" s="7"/>
      <c r="C5" s="3"/>
      <c r="D5" s="3"/>
      <c r="E5" s="3"/>
      <c r="F5" s="3"/>
    </row>
    <row r="6" spans="1:6" ht="15" customHeight="1" x14ac:dyDescent="0.35">
      <c r="A6" s="6" t="s">
        <v>4</v>
      </c>
      <c r="B6" s="7"/>
      <c r="C6" s="3"/>
      <c r="D6" s="3"/>
      <c r="E6" s="3"/>
      <c r="F6" s="3"/>
    </row>
    <row r="7" spans="1:6" x14ac:dyDescent="0.35">
      <c r="A7" s="6" t="s">
        <v>5</v>
      </c>
      <c r="B7" s="7"/>
      <c r="C7" s="3"/>
      <c r="D7" s="3"/>
      <c r="E7" s="3"/>
      <c r="F7" s="3"/>
    </row>
    <row r="8" spans="1:6" x14ac:dyDescent="0.35">
      <c r="A8" s="3"/>
      <c r="B8" s="3"/>
      <c r="C8" s="3"/>
      <c r="D8" s="3"/>
      <c r="E8" s="3"/>
      <c r="F8" s="3"/>
    </row>
    <row r="9" spans="1:6" ht="21.75" customHeight="1" x14ac:dyDescent="0.35">
      <c r="A9" s="4" t="s">
        <v>6</v>
      </c>
      <c r="B9" s="5"/>
      <c r="C9" s="5"/>
      <c r="D9" s="5"/>
      <c r="E9" s="5"/>
      <c r="F9" s="3"/>
    </row>
    <row r="10" spans="1:6" ht="15" customHeight="1" x14ac:dyDescent="0.35">
      <c r="A10" s="8" t="s">
        <v>7</v>
      </c>
      <c r="B10" s="8" t="s">
        <v>8</v>
      </c>
      <c r="C10" s="8" t="s">
        <v>9</v>
      </c>
      <c r="D10" s="8" t="s">
        <v>10</v>
      </c>
      <c r="E10" s="3"/>
      <c r="F10" s="3"/>
    </row>
    <row r="11" spans="1:6" x14ac:dyDescent="0.35">
      <c r="A11" s="9" t="s">
        <v>11</v>
      </c>
      <c r="B11" s="10">
        <v>5</v>
      </c>
      <c r="C11" s="10">
        <f>'LB2'!E6</f>
        <v>0</v>
      </c>
      <c r="D11" s="11">
        <f>IF(B11&gt;0, C11/B11*100, 0)</f>
        <v>0</v>
      </c>
      <c r="E11" s="3"/>
      <c r="F11" s="3"/>
    </row>
    <row r="12" spans="1:6" x14ac:dyDescent="0.35">
      <c r="A12" s="9" t="s">
        <v>12</v>
      </c>
      <c r="B12" s="10">
        <v>20</v>
      </c>
      <c r="C12" s="10">
        <f>'LB2'!E14</f>
        <v>0</v>
      </c>
      <c r="D12" s="11">
        <f>IF(B12&gt;0, C12/B12*100, 0)</f>
        <v>0</v>
      </c>
      <c r="E12" s="3"/>
      <c r="F12" s="3"/>
    </row>
    <row r="13" spans="1:6" x14ac:dyDescent="0.35">
      <c r="A13" s="9" t="s">
        <v>13</v>
      </c>
      <c r="B13" s="10">
        <v>40</v>
      </c>
      <c r="C13" s="10">
        <f>'LB2'!E26</f>
        <v>0</v>
      </c>
      <c r="D13" s="11">
        <f>IF(B13&gt;0, C13/B13*100, 0)</f>
        <v>0</v>
      </c>
      <c r="E13" s="3"/>
      <c r="F13" s="3"/>
    </row>
    <row r="14" spans="1:6" x14ac:dyDescent="0.35">
      <c r="A14" s="9" t="s">
        <v>14</v>
      </c>
      <c r="B14" s="10">
        <v>15</v>
      </c>
      <c r="C14" s="10">
        <f>'LB2'!E33</f>
        <v>0</v>
      </c>
      <c r="D14" s="11">
        <f>IF(B14&gt;0, C14/B14*100, 0)</f>
        <v>0</v>
      </c>
      <c r="E14" s="3"/>
      <c r="F14" s="3"/>
    </row>
    <row r="15" spans="1:6" x14ac:dyDescent="0.35">
      <c r="A15" s="12" t="s">
        <v>15</v>
      </c>
      <c r="B15" s="13">
        <f>SUM(B11:B14)</f>
        <v>80</v>
      </c>
      <c r="C15" s="13">
        <f>SUM(C11:C14)</f>
        <v>0</v>
      </c>
      <c r="D15" s="14">
        <f>IF(B15&gt;0, C15/B15*100, 0)</f>
        <v>0</v>
      </c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ht="21.75" customHeight="1" x14ac:dyDescent="0.35">
      <c r="A17" s="4" t="s">
        <v>16</v>
      </c>
      <c r="B17" s="5"/>
      <c r="C17" s="5"/>
      <c r="D17" s="5"/>
      <c r="E17" s="3"/>
      <c r="F17" s="3"/>
    </row>
    <row r="18" spans="1:6" ht="34.5" customHeight="1" x14ac:dyDescent="0.35">
      <c r="A18" s="15" t="s">
        <v>17</v>
      </c>
      <c r="B18" s="16">
        <f>'LB2'!E37</f>
        <v>1</v>
      </c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17" t="s">
        <v>18</v>
      </c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  <row r="23" spans="1:6" x14ac:dyDescent="0.35">
      <c r="A23" s="3"/>
      <c r="B23" s="3"/>
      <c r="C23" s="3"/>
      <c r="D23" s="3"/>
      <c r="E23" s="3"/>
      <c r="F23" s="3"/>
    </row>
    <row r="24" spans="1:6" x14ac:dyDescent="0.35">
      <c r="A24" s="3"/>
      <c r="B24" s="3"/>
      <c r="C24" s="3"/>
      <c r="D24" s="3"/>
      <c r="E24" s="3"/>
      <c r="F24" s="3"/>
    </row>
    <row r="25" spans="1:6" x14ac:dyDescent="0.35">
      <c r="A25" s="3"/>
      <c r="B25" s="3"/>
      <c r="C25" s="3"/>
      <c r="D25" s="3"/>
      <c r="E25" s="3"/>
      <c r="F25" s="3"/>
    </row>
    <row r="26" spans="1:6" x14ac:dyDescent="0.35">
      <c r="A26" s="3"/>
      <c r="B26" s="3"/>
      <c r="C26" s="3"/>
      <c r="D26" s="3"/>
      <c r="E26" s="3"/>
      <c r="F26" s="3"/>
    </row>
    <row r="27" spans="1:6" x14ac:dyDescent="0.35">
      <c r="A27" s="3"/>
      <c r="B27" s="3"/>
      <c r="C27" s="3"/>
      <c r="D27" s="3"/>
      <c r="E27" s="3"/>
      <c r="F27" s="3"/>
    </row>
    <row r="28" spans="1:6" x14ac:dyDescent="0.35">
      <c r="A28" s="3"/>
      <c r="B28" s="3"/>
      <c r="C28" s="3"/>
      <c r="D28" s="3"/>
      <c r="E28" s="3"/>
      <c r="F28" s="3"/>
    </row>
    <row r="29" spans="1:6" x14ac:dyDescent="0.35">
      <c r="A29" s="3"/>
      <c r="B29" s="3"/>
      <c r="C29" s="3"/>
      <c r="D29" s="3"/>
      <c r="E29" s="3"/>
      <c r="F29" s="3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G59"/>
  <sheetViews>
    <sheetView zoomScaleNormal="100" workbookViewId="0">
      <selection activeCell="E5" sqref="E5"/>
    </sheetView>
  </sheetViews>
  <sheetFormatPr baseColWidth="10" defaultColWidth="11.453125" defaultRowHeight="14.5" x14ac:dyDescent="0.35"/>
  <cols>
    <col min="1" max="1" width="38.6328125" customWidth="1"/>
    <col min="2" max="2" width="22" customWidth="1"/>
    <col min="3" max="4" width="10" customWidth="1"/>
    <col min="5" max="5" width="12" customWidth="1"/>
    <col min="6" max="6" width="40" customWidth="1"/>
  </cols>
  <sheetData>
    <row r="1" spans="1:7" ht="54.5" customHeight="1" x14ac:dyDescent="0.35">
      <c r="A1" s="1" t="s">
        <v>19</v>
      </c>
      <c r="B1" s="2"/>
      <c r="C1" s="2"/>
      <c r="D1" s="2"/>
      <c r="E1" s="2"/>
      <c r="F1" s="2"/>
      <c r="G1" s="3"/>
    </row>
    <row r="2" spans="1:7" ht="18.75" customHeight="1" x14ac:dyDescent="0.35">
      <c r="A2" s="3"/>
      <c r="B2" s="3"/>
      <c r="C2" s="18"/>
      <c r="D2" s="3"/>
      <c r="E2" s="3"/>
      <c r="F2" s="3"/>
      <c r="G2" s="3"/>
    </row>
    <row r="3" spans="1:7" ht="21.75" customHeight="1" x14ac:dyDescent="0.35">
      <c r="A3" s="4" t="s">
        <v>20</v>
      </c>
      <c r="B3" s="5"/>
      <c r="C3" s="5"/>
      <c r="D3" s="5"/>
      <c r="E3" s="5"/>
      <c r="F3" s="5"/>
      <c r="G3" s="3"/>
    </row>
    <row r="4" spans="1:7" ht="14.25" customHeight="1" x14ac:dyDescent="0.35">
      <c r="A4" s="8" t="s">
        <v>21</v>
      </c>
      <c r="B4" s="8" t="s">
        <v>22</v>
      </c>
      <c r="C4" s="19" t="s">
        <v>23</v>
      </c>
      <c r="D4" s="8" t="s">
        <v>24</v>
      </c>
      <c r="E4" s="8" t="s">
        <v>9</v>
      </c>
      <c r="F4" s="8" t="s">
        <v>25</v>
      </c>
      <c r="G4" s="3"/>
    </row>
    <row r="5" spans="1:7" ht="19.5" customHeight="1" x14ac:dyDescent="0.35">
      <c r="A5" s="20" t="s">
        <v>26</v>
      </c>
      <c r="B5" s="20" t="s">
        <v>27</v>
      </c>
      <c r="C5" s="10">
        <v>5</v>
      </c>
      <c r="D5" s="10">
        <v>1</v>
      </c>
      <c r="E5" s="21">
        <v>0</v>
      </c>
      <c r="F5" s="22"/>
      <c r="G5" s="3"/>
    </row>
    <row r="6" spans="1:7" ht="15" customHeight="1" x14ac:dyDescent="0.35">
      <c r="A6" s="12" t="s">
        <v>28</v>
      </c>
      <c r="B6" s="23"/>
      <c r="C6" s="13">
        <f>SUM(C5:C5)</f>
        <v>5</v>
      </c>
      <c r="D6" s="23"/>
      <c r="E6" s="13">
        <f>SUM(E5:E5)</f>
        <v>0</v>
      </c>
      <c r="F6" s="23"/>
      <c r="G6" s="3"/>
    </row>
    <row r="7" spans="1:7" ht="15" customHeight="1" x14ac:dyDescent="0.35">
      <c r="A7" s="3"/>
      <c r="B7" s="3"/>
      <c r="C7" s="3"/>
      <c r="D7" s="3"/>
      <c r="E7" s="3"/>
      <c r="F7" s="3"/>
      <c r="G7" s="3"/>
    </row>
    <row r="8" spans="1:7" ht="21.75" customHeight="1" x14ac:dyDescent="0.35">
      <c r="A8" s="4" t="s">
        <v>29</v>
      </c>
      <c r="B8" s="5"/>
      <c r="C8" s="24"/>
      <c r="D8" s="5"/>
      <c r="E8" s="5"/>
      <c r="F8" s="5"/>
      <c r="G8" s="3"/>
    </row>
    <row r="9" spans="1:7" ht="15" customHeight="1" x14ac:dyDescent="0.35">
      <c r="A9" s="8" t="s">
        <v>21</v>
      </c>
      <c r="B9" s="8" t="s">
        <v>22</v>
      </c>
      <c r="C9" s="19" t="s">
        <v>23</v>
      </c>
      <c r="D9" s="8" t="s">
        <v>24</v>
      </c>
      <c r="E9" s="8" t="s">
        <v>9</v>
      </c>
      <c r="F9" s="8" t="s">
        <v>25</v>
      </c>
      <c r="G9" s="3"/>
    </row>
    <row r="10" spans="1:7" ht="19.5" customHeight="1" x14ac:dyDescent="0.35">
      <c r="A10" s="20" t="s">
        <v>30</v>
      </c>
      <c r="B10" s="20" t="s">
        <v>31</v>
      </c>
      <c r="C10" s="25">
        <v>5</v>
      </c>
      <c r="D10" s="10">
        <v>1</v>
      </c>
      <c r="E10" s="21">
        <v>0</v>
      </c>
      <c r="F10" s="22"/>
      <c r="G10" s="3"/>
    </row>
    <row r="11" spans="1:7" ht="19.5" customHeight="1" x14ac:dyDescent="0.35">
      <c r="A11" s="20" t="s">
        <v>32</v>
      </c>
      <c r="B11" s="20" t="s">
        <v>31</v>
      </c>
      <c r="C11" s="25">
        <v>5</v>
      </c>
      <c r="D11" s="10">
        <v>1</v>
      </c>
      <c r="E11" s="21">
        <v>0</v>
      </c>
      <c r="F11" s="22"/>
      <c r="G11" s="3"/>
    </row>
    <row r="12" spans="1:7" ht="19.5" customHeight="1" x14ac:dyDescent="0.35">
      <c r="A12" s="20" t="s">
        <v>33</v>
      </c>
      <c r="B12" s="20" t="s">
        <v>31</v>
      </c>
      <c r="C12" s="25">
        <v>5</v>
      </c>
      <c r="D12" s="10">
        <v>1</v>
      </c>
      <c r="E12" s="21">
        <v>0</v>
      </c>
      <c r="F12" s="22"/>
      <c r="G12" s="3"/>
    </row>
    <row r="13" spans="1:7" ht="19.5" customHeight="1" x14ac:dyDescent="0.35">
      <c r="A13" s="20" t="s">
        <v>34</v>
      </c>
      <c r="B13" s="20" t="s">
        <v>31</v>
      </c>
      <c r="C13" s="10">
        <v>5</v>
      </c>
      <c r="D13" s="10">
        <v>1</v>
      </c>
      <c r="E13" s="21">
        <v>0</v>
      </c>
      <c r="F13" s="22"/>
      <c r="G13" s="3"/>
    </row>
    <row r="14" spans="1:7" ht="14.25" customHeight="1" x14ac:dyDescent="0.35">
      <c r="A14" s="12" t="s">
        <v>28</v>
      </c>
      <c r="B14" s="23"/>
      <c r="C14" s="13">
        <f>SUM(C10:C13)</f>
        <v>20</v>
      </c>
      <c r="D14" s="23"/>
      <c r="E14" s="13">
        <f>SUM(E10:E13)</f>
        <v>0</v>
      </c>
      <c r="F14" s="23"/>
      <c r="G14" s="3"/>
    </row>
    <row r="15" spans="1:7" ht="17.25" customHeight="1" x14ac:dyDescent="0.35">
      <c r="A15" s="3"/>
      <c r="B15" s="3"/>
      <c r="C15" s="3"/>
      <c r="D15" s="3"/>
      <c r="E15" s="3"/>
      <c r="F15" s="3"/>
      <c r="G15" s="3"/>
    </row>
    <row r="16" spans="1:7" ht="21.75" customHeight="1" x14ac:dyDescent="0.35">
      <c r="A16" s="4" t="s">
        <v>35</v>
      </c>
      <c r="B16" s="5"/>
      <c r="C16" s="5"/>
      <c r="D16" s="5"/>
      <c r="E16" s="5"/>
      <c r="F16" s="5"/>
      <c r="G16" s="3"/>
    </row>
    <row r="17" spans="1:7" ht="14.25" customHeight="1" x14ac:dyDescent="0.35">
      <c r="A17" s="8" t="s">
        <v>21</v>
      </c>
      <c r="B17" s="8" t="s">
        <v>22</v>
      </c>
      <c r="C17" s="19" t="s">
        <v>23</v>
      </c>
      <c r="D17" s="8" t="s">
        <v>24</v>
      </c>
      <c r="E17" s="8" t="s">
        <v>9</v>
      </c>
      <c r="F17" s="8" t="s">
        <v>25</v>
      </c>
      <c r="G17" s="3"/>
    </row>
    <row r="18" spans="1:7" ht="19.5" customHeight="1" x14ac:dyDescent="0.35">
      <c r="A18" s="20" t="s">
        <v>36</v>
      </c>
      <c r="B18" s="20" t="s">
        <v>37</v>
      </c>
      <c r="C18" s="25">
        <v>5</v>
      </c>
      <c r="D18" s="10">
        <v>1</v>
      </c>
      <c r="E18" s="21">
        <v>0</v>
      </c>
      <c r="F18" s="22"/>
      <c r="G18" s="3"/>
    </row>
    <row r="19" spans="1:7" ht="19.5" customHeight="1" x14ac:dyDescent="0.35">
      <c r="A19" s="20" t="s">
        <v>38</v>
      </c>
      <c r="B19" s="20" t="s">
        <v>37</v>
      </c>
      <c r="C19" s="25">
        <v>5</v>
      </c>
      <c r="D19" s="10">
        <v>1</v>
      </c>
      <c r="E19" s="21">
        <v>0</v>
      </c>
      <c r="F19" s="22"/>
      <c r="G19" s="3"/>
    </row>
    <row r="20" spans="1:7" ht="19.5" customHeight="1" x14ac:dyDescent="0.35">
      <c r="A20" s="20" t="s">
        <v>39</v>
      </c>
      <c r="B20" s="20" t="s">
        <v>37</v>
      </c>
      <c r="C20" s="25">
        <v>5</v>
      </c>
      <c r="D20" s="10">
        <v>1</v>
      </c>
      <c r="E20" s="21">
        <v>0</v>
      </c>
      <c r="F20" s="22"/>
      <c r="G20" s="3"/>
    </row>
    <row r="21" spans="1:7" ht="19.5" customHeight="1" x14ac:dyDescent="0.35">
      <c r="A21" s="20" t="s">
        <v>40</v>
      </c>
      <c r="B21" s="20" t="s">
        <v>37</v>
      </c>
      <c r="C21" s="25">
        <v>5</v>
      </c>
      <c r="D21" s="10">
        <v>1</v>
      </c>
      <c r="E21" s="21">
        <v>0</v>
      </c>
      <c r="F21" s="22"/>
      <c r="G21" s="3"/>
    </row>
    <row r="22" spans="1:7" ht="19.5" customHeight="1" x14ac:dyDescent="0.35">
      <c r="A22" s="20" t="s">
        <v>41</v>
      </c>
      <c r="B22" s="20" t="s">
        <v>37</v>
      </c>
      <c r="C22" s="25">
        <v>5</v>
      </c>
      <c r="D22" s="10">
        <v>1</v>
      </c>
      <c r="E22" s="21">
        <v>0</v>
      </c>
      <c r="F22" s="22"/>
      <c r="G22" s="3"/>
    </row>
    <row r="23" spans="1:7" ht="19.5" customHeight="1" x14ac:dyDescent="0.35">
      <c r="A23" s="20" t="s">
        <v>42</v>
      </c>
      <c r="B23" s="20" t="s">
        <v>37</v>
      </c>
      <c r="C23" s="25">
        <v>5</v>
      </c>
      <c r="D23" s="10">
        <v>1</v>
      </c>
      <c r="E23" s="21">
        <v>0</v>
      </c>
      <c r="F23" s="22"/>
      <c r="G23" s="3"/>
    </row>
    <row r="24" spans="1:7" ht="19.5" customHeight="1" x14ac:dyDescent="0.35">
      <c r="A24" s="20" t="s">
        <v>43</v>
      </c>
      <c r="B24" s="20" t="s">
        <v>37</v>
      </c>
      <c r="C24" s="25">
        <v>5</v>
      </c>
      <c r="D24" s="10">
        <v>1</v>
      </c>
      <c r="E24" s="21">
        <v>0</v>
      </c>
      <c r="F24" s="22"/>
      <c r="G24" s="3"/>
    </row>
    <row r="25" spans="1:7" ht="19.5" customHeight="1" x14ac:dyDescent="0.35">
      <c r="A25" s="20" t="s">
        <v>44</v>
      </c>
      <c r="B25" s="20" t="s">
        <v>37</v>
      </c>
      <c r="C25" s="10">
        <v>5</v>
      </c>
      <c r="D25" s="10">
        <v>1</v>
      </c>
      <c r="E25" s="21">
        <v>0</v>
      </c>
      <c r="F25" s="22"/>
      <c r="G25" s="3"/>
    </row>
    <row r="26" spans="1:7" ht="14.25" customHeight="1" x14ac:dyDescent="0.35">
      <c r="A26" s="12" t="s">
        <v>28</v>
      </c>
      <c r="B26" s="23"/>
      <c r="C26" s="13">
        <f>SUM(C18:C25)</f>
        <v>40</v>
      </c>
      <c r="D26" s="23"/>
      <c r="E26" s="13">
        <f>SUM(E18:E25)</f>
        <v>0</v>
      </c>
      <c r="F26" s="23"/>
      <c r="G26" s="3"/>
    </row>
    <row r="27" spans="1:7" ht="17.25" customHeight="1" x14ac:dyDescent="0.35">
      <c r="A27" s="3"/>
      <c r="B27" s="3"/>
      <c r="C27" s="3"/>
      <c r="D27" s="3"/>
      <c r="E27" s="3"/>
      <c r="F27" s="3"/>
      <c r="G27" s="3"/>
    </row>
    <row r="28" spans="1:7" ht="21.75" customHeight="1" x14ac:dyDescent="0.35">
      <c r="A28" s="4" t="s">
        <v>45</v>
      </c>
      <c r="B28" s="5"/>
      <c r="C28" s="5"/>
      <c r="D28" s="5"/>
      <c r="E28" s="5"/>
      <c r="F28" s="5"/>
      <c r="G28" s="3"/>
    </row>
    <row r="29" spans="1:7" ht="14.25" customHeight="1" x14ac:dyDescent="0.35">
      <c r="A29" s="8" t="s">
        <v>21</v>
      </c>
      <c r="B29" s="8" t="s">
        <v>22</v>
      </c>
      <c r="C29" s="19" t="s">
        <v>23</v>
      </c>
      <c r="D29" s="8" t="s">
        <v>24</v>
      </c>
      <c r="E29" s="8" t="s">
        <v>9</v>
      </c>
      <c r="F29" s="8" t="s">
        <v>25</v>
      </c>
      <c r="G29" s="3"/>
    </row>
    <row r="30" spans="1:7" ht="19.5" customHeight="1" x14ac:dyDescent="0.35">
      <c r="A30" s="20" t="s">
        <v>46</v>
      </c>
      <c r="B30" s="20" t="s">
        <v>47</v>
      </c>
      <c r="C30" s="25">
        <v>5</v>
      </c>
      <c r="D30" s="10">
        <v>1</v>
      </c>
      <c r="E30" s="21">
        <v>0</v>
      </c>
      <c r="F30" s="22"/>
      <c r="G30" s="3"/>
    </row>
    <row r="31" spans="1:7" ht="19.5" customHeight="1" x14ac:dyDescent="0.35">
      <c r="A31" s="20" t="s">
        <v>48</v>
      </c>
      <c r="B31" s="20" t="s">
        <v>47</v>
      </c>
      <c r="C31" s="25">
        <v>5</v>
      </c>
      <c r="D31" s="10">
        <v>1</v>
      </c>
      <c r="E31" s="21">
        <v>0</v>
      </c>
      <c r="F31" s="22"/>
      <c r="G31" s="3"/>
    </row>
    <row r="32" spans="1:7" ht="19.5" customHeight="1" x14ac:dyDescent="0.35">
      <c r="A32" s="20" t="s">
        <v>49</v>
      </c>
      <c r="B32" s="20" t="s">
        <v>47</v>
      </c>
      <c r="C32" s="10">
        <v>5</v>
      </c>
      <c r="D32" s="10">
        <v>1</v>
      </c>
      <c r="E32" s="21">
        <v>0</v>
      </c>
      <c r="F32" s="22"/>
      <c r="G32" s="3"/>
    </row>
    <row r="33" spans="1:7" ht="18.75" customHeight="1" x14ac:dyDescent="0.35">
      <c r="A33" s="12" t="s">
        <v>28</v>
      </c>
      <c r="B33" s="23"/>
      <c r="C33" s="13">
        <f>SUM(C30:C32)</f>
        <v>15</v>
      </c>
      <c r="D33" s="23"/>
      <c r="E33" s="13">
        <f>SUM(E30:E32)</f>
        <v>0</v>
      </c>
      <c r="F33" s="23"/>
      <c r="G33" s="3"/>
    </row>
    <row r="34" spans="1:7" ht="15" customHeight="1" x14ac:dyDescent="0.35">
      <c r="A34" s="3"/>
      <c r="B34" s="3"/>
      <c r="C34" s="3"/>
      <c r="D34" s="3"/>
      <c r="E34" s="3"/>
      <c r="F34" s="3"/>
      <c r="G34" s="3"/>
    </row>
    <row r="35" spans="1:7" ht="18.75" customHeight="1" x14ac:dyDescent="0.35">
      <c r="A35" s="26" t="s">
        <v>50</v>
      </c>
      <c r="B35" s="27"/>
      <c r="C35" s="28">
        <f>C6+C14+C26+C33</f>
        <v>80</v>
      </c>
      <c r="D35" s="27"/>
      <c r="E35" s="28">
        <f>E6+E14+E26+E33</f>
        <v>0</v>
      </c>
      <c r="F35" s="27"/>
      <c r="G35" s="3"/>
    </row>
    <row r="36" spans="1:7" ht="15" customHeight="1" x14ac:dyDescent="0.35">
      <c r="A36" s="3"/>
      <c r="B36" s="3"/>
      <c r="C36" s="3"/>
      <c r="D36" s="3"/>
      <c r="E36" s="3"/>
      <c r="F36" s="3"/>
      <c r="G36" s="3"/>
    </row>
    <row r="37" spans="1:7" ht="30" customHeight="1" x14ac:dyDescent="0.35">
      <c r="A37" s="29" t="s">
        <v>51</v>
      </c>
      <c r="B37" s="30"/>
      <c r="C37" s="30"/>
      <c r="D37" s="30"/>
      <c r="E37" s="31">
        <f>ROUND((E35*5/C35)+1, 1)</f>
        <v>1</v>
      </c>
      <c r="F37" s="30"/>
      <c r="G37" s="3"/>
    </row>
    <row r="38" spans="1:7" ht="14.25" customHeight="1" x14ac:dyDescent="0.35">
      <c r="A38" s="3"/>
      <c r="B38" s="3"/>
      <c r="C38" s="3"/>
      <c r="D38" s="3"/>
      <c r="E38" s="3"/>
      <c r="F38" s="3"/>
      <c r="G38" s="3"/>
    </row>
    <row r="39" spans="1:7" ht="14.25" customHeight="1" x14ac:dyDescent="0.35">
      <c r="A39" s="17" t="s">
        <v>52</v>
      </c>
      <c r="B39" s="3"/>
      <c r="C39" s="3"/>
      <c r="D39" s="3"/>
      <c r="E39" s="3"/>
      <c r="F39" s="3"/>
      <c r="G39" s="3"/>
    </row>
    <row r="40" spans="1:7" ht="14.25" customHeight="1" x14ac:dyDescent="0.35">
      <c r="A40" s="17" t="s">
        <v>53</v>
      </c>
      <c r="B40" s="3"/>
      <c r="C40" s="3"/>
      <c r="D40" s="3"/>
      <c r="E40" s="3"/>
      <c r="F40" s="3"/>
      <c r="G40" s="3"/>
    </row>
    <row r="41" spans="1:7" ht="14.25" customHeight="1" x14ac:dyDescent="0.35">
      <c r="A41" s="3"/>
      <c r="B41" s="3"/>
      <c r="C41" s="3"/>
      <c r="D41" s="3"/>
      <c r="E41" s="3"/>
      <c r="F41" s="3"/>
      <c r="G41" s="3"/>
    </row>
    <row r="42" spans="1:7" ht="14.25" customHeight="1" x14ac:dyDescent="0.35">
      <c r="A42" s="3"/>
      <c r="B42" s="3"/>
      <c r="C42" s="3"/>
      <c r="D42" s="3"/>
      <c r="E42" s="3"/>
      <c r="F42" s="3"/>
      <c r="G42" s="3"/>
    </row>
    <row r="43" spans="1:7" ht="14.25" customHeight="1" x14ac:dyDescent="0.35">
      <c r="A43" s="3"/>
      <c r="B43" s="3"/>
      <c r="C43" s="3"/>
      <c r="D43" s="3"/>
      <c r="E43" s="3"/>
      <c r="F43" s="3"/>
      <c r="G43" s="3"/>
    </row>
    <row r="44" spans="1:7" ht="14.25" customHeight="1" x14ac:dyDescent="0.35">
      <c r="A44" s="3"/>
      <c r="B44" s="3"/>
      <c r="C44" s="3"/>
      <c r="D44" s="3"/>
      <c r="E44" s="3"/>
      <c r="F44" s="3"/>
      <c r="G44" s="3"/>
    </row>
    <row r="45" spans="1:7" ht="14.25" customHeight="1" x14ac:dyDescent="0.35">
      <c r="A45" s="3"/>
      <c r="B45" s="3"/>
      <c r="C45" s="3"/>
      <c r="D45" s="3"/>
      <c r="E45" s="3"/>
      <c r="F45" s="3"/>
      <c r="G45" s="3"/>
    </row>
    <row r="46" spans="1:7" ht="14.25" customHeight="1" x14ac:dyDescent="0.35">
      <c r="A46" s="3"/>
      <c r="B46" s="3"/>
      <c r="C46" s="3"/>
      <c r="D46" s="3"/>
      <c r="E46" s="3"/>
      <c r="F46" s="3"/>
      <c r="G46" s="3"/>
    </row>
    <row r="47" spans="1:7" ht="14.25" customHeight="1" x14ac:dyDescent="0.35">
      <c r="A47" s="3"/>
      <c r="B47" s="3"/>
      <c r="C47" s="3"/>
      <c r="D47" s="3"/>
      <c r="E47" s="3"/>
      <c r="F47" s="3"/>
      <c r="G47" s="3"/>
    </row>
    <row r="48" spans="1:7" ht="14.25" customHeight="1" x14ac:dyDescent="0.35">
      <c r="A48" s="3"/>
      <c r="B48" s="3"/>
      <c r="C48" s="3"/>
      <c r="D48" s="3"/>
      <c r="E48" s="3"/>
      <c r="F48" s="3"/>
      <c r="G48" s="3"/>
    </row>
    <row r="49" spans="1:7" ht="14.25" customHeight="1" x14ac:dyDescent="0.35">
      <c r="A49" s="3"/>
      <c r="B49" s="3"/>
      <c r="C49" s="3"/>
      <c r="D49" s="3"/>
      <c r="E49" s="3"/>
      <c r="F49" s="3"/>
      <c r="G49" s="3"/>
    </row>
    <row r="50" spans="1:7" ht="14.25" customHeight="1" x14ac:dyDescent="0.35">
      <c r="A50" s="3"/>
      <c r="B50" s="3"/>
      <c r="C50" s="3"/>
      <c r="D50" s="3"/>
      <c r="E50" s="3"/>
      <c r="F50" s="3"/>
    </row>
    <row r="51" spans="1:7" ht="14.25" customHeight="1" x14ac:dyDescent="0.35">
      <c r="A51" s="3"/>
      <c r="B51" s="3"/>
      <c r="C51" s="3"/>
      <c r="D51" s="3"/>
      <c r="E51" s="3"/>
      <c r="F51" s="3"/>
    </row>
    <row r="52" spans="1:7" ht="14.25" customHeight="1" x14ac:dyDescent="0.35">
      <c r="A52" s="3"/>
      <c r="B52" s="3"/>
      <c r="C52" s="3"/>
      <c r="D52" s="3"/>
      <c r="E52" s="3"/>
      <c r="F52" s="3"/>
    </row>
    <row r="53" spans="1:7" ht="14.25" customHeight="1" x14ac:dyDescent="0.35">
      <c r="A53" s="3"/>
      <c r="B53" s="3"/>
      <c r="C53" s="3"/>
      <c r="D53" s="3"/>
      <c r="E53" s="3"/>
      <c r="F53" s="3"/>
    </row>
    <row r="54" spans="1:7" ht="14.25" customHeight="1" x14ac:dyDescent="0.35">
      <c r="A54" s="3"/>
      <c r="B54" s="3"/>
      <c r="C54" s="3"/>
      <c r="D54" s="3"/>
      <c r="E54" s="3"/>
      <c r="F54" s="3"/>
    </row>
    <row r="55" spans="1:7" ht="14.25" customHeight="1" x14ac:dyDescent="0.35">
      <c r="A55" s="3"/>
      <c r="B55" s="3"/>
      <c r="C55" s="3"/>
      <c r="D55" s="3"/>
      <c r="E55" s="3"/>
      <c r="F55" s="3"/>
    </row>
    <row r="56" spans="1:7" ht="14.25" customHeight="1" x14ac:dyDescent="0.35">
      <c r="A56" s="3"/>
      <c r="B56" s="3"/>
      <c r="C56" s="3"/>
      <c r="D56" s="3"/>
      <c r="E56" s="3"/>
      <c r="F56" s="3"/>
    </row>
    <row r="57" spans="1:7" ht="14.25" customHeight="1" x14ac:dyDescent="0.35">
      <c r="A57" s="3"/>
      <c r="B57" s="3"/>
      <c r="C57" s="3"/>
      <c r="D57" s="3"/>
      <c r="E57" s="3"/>
      <c r="F57" s="3"/>
    </row>
    <row r="58" spans="1:7" ht="14.25" customHeight="1" x14ac:dyDescent="0.35">
      <c r="A58" s="3"/>
      <c r="B58" s="3"/>
      <c r="C58" s="3"/>
      <c r="D58" s="3"/>
      <c r="E58" s="3"/>
      <c r="F58" s="3"/>
    </row>
    <row r="59" spans="1:7" ht="14.25" customHeight="1" x14ac:dyDescent="0.35">
      <c r="A59" s="3"/>
      <c r="B59" s="3"/>
      <c r="C59" s="3"/>
      <c r="D59" s="3"/>
      <c r="E59" s="3"/>
      <c r="F59" s="3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G41"/>
  <sheetViews>
    <sheetView topLeftCell="A7" zoomScaleNormal="100" workbookViewId="0">
      <selection activeCell="C17" sqref="C17"/>
    </sheetView>
  </sheetViews>
  <sheetFormatPr baseColWidth="10" defaultColWidth="8.6328125" defaultRowHeight="14.5" x14ac:dyDescent="0.35"/>
  <cols>
    <col min="1" max="1" width="25" customWidth="1"/>
    <col min="2" max="2" width="45" customWidth="1"/>
    <col min="3" max="3" width="48.453125" customWidth="1"/>
    <col min="4" max="4" width="40" customWidth="1"/>
    <col min="5" max="5" width="35" customWidth="1"/>
    <col min="6" max="6" width="30" customWidth="1"/>
    <col min="7" max="7" width="25" customWidth="1"/>
  </cols>
  <sheetData>
    <row r="1" spans="1:7" ht="20" x14ac:dyDescent="0.4">
      <c r="A1" s="32" t="s">
        <v>54</v>
      </c>
    </row>
    <row r="3" spans="1:7" ht="17.5" x14ac:dyDescent="0.35">
      <c r="A3" s="33" t="s">
        <v>20</v>
      </c>
      <c r="B3" s="34"/>
      <c r="C3" s="34"/>
      <c r="D3" s="34"/>
      <c r="E3" s="34"/>
      <c r="F3" s="34"/>
      <c r="G3" s="34"/>
    </row>
    <row r="4" spans="1:7" x14ac:dyDescent="0.35">
      <c r="A4" s="35" t="s">
        <v>21</v>
      </c>
      <c r="B4" s="36" t="s">
        <v>55</v>
      </c>
      <c r="C4" s="37" t="s">
        <v>56</v>
      </c>
      <c r="D4" s="38" t="s">
        <v>57</v>
      </c>
      <c r="E4" s="39" t="s">
        <v>58</v>
      </c>
      <c r="F4" s="40" t="s">
        <v>59</v>
      </c>
      <c r="G4" s="41" t="s">
        <v>60</v>
      </c>
    </row>
    <row r="5" spans="1:7" ht="79.5" customHeight="1" x14ac:dyDescent="0.35">
      <c r="A5" s="42" t="s">
        <v>26</v>
      </c>
      <c r="B5" s="43" t="s">
        <v>61</v>
      </c>
      <c r="C5" s="44" t="s">
        <v>62</v>
      </c>
      <c r="D5" s="45" t="s">
        <v>63</v>
      </c>
      <c r="E5" s="46" t="s">
        <v>64</v>
      </c>
      <c r="F5" s="47" t="s">
        <v>65</v>
      </c>
      <c r="G5" s="48" t="s">
        <v>66</v>
      </c>
    </row>
    <row r="7" spans="1:7" ht="17.5" x14ac:dyDescent="0.35">
      <c r="A7" s="33" t="s">
        <v>29</v>
      </c>
      <c r="B7" s="34"/>
      <c r="C7" s="34"/>
      <c r="D7" s="34"/>
      <c r="E7" s="34"/>
      <c r="F7" s="34"/>
      <c r="G7" s="34"/>
    </row>
    <row r="8" spans="1:7" x14ac:dyDescent="0.35">
      <c r="A8" s="35" t="s">
        <v>21</v>
      </c>
      <c r="B8" s="36" t="s">
        <v>55</v>
      </c>
      <c r="C8" s="37" t="s">
        <v>56</v>
      </c>
      <c r="D8" s="38" t="s">
        <v>57</v>
      </c>
      <c r="E8" s="39" t="s">
        <v>58</v>
      </c>
      <c r="F8" s="40" t="s">
        <v>59</v>
      </c>
      <c r="G8" s="41" t="s">
        <v>60</v>
      </c>
    </row>
    <row r="9" spans="1:7" ht="79.5" customHeight="1" x14ac:dyDescent="0.35">
      <c r="A9" s="42" t="s">
        <v>30</v>
      </c>
      <c r="B9" s="43" t="s">
        <v>67</v>
      </c>
      <c r="C9" s="44" t="s">
        <v>68</v>
      </c>
      <c r="D9" s="45" t="s">
        <v>69</v>
      </c>
      <c r="E9" s="46" t="s">
        <v>70</v>
      </c>
      <c r="F9" s="47" t="s">
        <v>71</v>
      </c>
      <c r="G9" s="48" t="s">
        <v>72</v>
      </c>
    </row>
    <row r="10" spans="1:7" ht="79.5" customHeight="1" x14ac:dyDescent="0.35">
      <c r="A10" s="42" t="s">
        <v>32</v>
      </c>
      <c r="B10" s="43" t="s">
        <v>73</v>
      </c>
      <c r="C10" s="44" t="s">
        <v>74</v>
      </c>
      <c r="D10" s="45" t="s">
        <v>75</v>
      </c>
      <c r="E10" s="46" t="s">
        <v>76</v>
      </c>
      <c r="F10" s="47" t="s">
        <v>77</v>
      </c>
      <c r="G10" s="48" t="s">
        <v>72</v>
      </c>
    </row>
    <row r="11" spans="1:7" ht="79.5" customHeight="1" x14ac:dyDescent="0.35">
      <c r="A11" s="42" t="s">
        <v>33</v>
      </c>
      <c r="B11" s="43" t="s">
        <v>78</v>
      </c>
      <c r="C11" s="44" t="s">
        <v>79</v>
      </c>
      <c r="D11" s="45" t="s">
        <v>80</v>
      </c>
      <c r="E11" s="46" t="s">
        <v>81</v>
      </c>
      <c r="F11" s="47" t="s">
        <v>82</v>
      </c>
      <c r="G11" s="48" t="s">
        <v>83</v>
      </c>
    </row>
    <row r="12" spans="1:7" ht="79.5" customHeight="1" x14ac:dyDescent="0.35">
      <c r="A12" s="42" t="s">
        <v>34</v>
      </c>
      <c r="B12" s="43" t="s">
        <v>84</v>
      </c>
      <c r="C12" s="44" t="s">
        <v>85</v>
      </c>
      <c r="D12" s="45" t="s">
        <v>86</v>
      </c>
      <c r="E12" s="46" t="s">
        <v>87</v>
      </c>
      <c r="F12" s="47" t="s">
        <v>88</v>
      </c>
      <c r="G12" s="48" t="s">
        <v>72</v>
      </c>
    </row>
    <row r="14" spans="1:7" ht="17.5" x14ac:dyDescent="0.35">
      <c r="A14" s="33" t="s">
        <v>35</v>
      </c>
      <c r="B14" s="34"/>
      <c r="C14" s="34"/>
      <c r="D14" s="34"/>
      <c r="E14" s="34"/>
      <c r="F14" s="34"/>
      <c r="G14" s="34"/>
    </row>
    <row r="15" spans="1:7" x14ac:dyDescent="0.35">
      <c r="A15" s="35" t="s">
        <v>21</v>
      </c>
      <c r="B15" s="36" t="s">
        <v>55</v>
      </c>
      <c r="C15" s="37" t="s">
        <v>56</v>
      </c>
      <c r="D15" s="38" t="s">
        <v>57</v>
      </c>
      <c r="E15" s="39" t="s">
        <v>58</v>
      </c>
      <c r="F15" s="40" t="s">
        <v>59</v>
      </c>
      <c r="G15" s="41" t="s">
        <v>60</v>
      </c>
    </row>
    <row r="16" spans="1:7" ht="79.5" customHeight="1" x14ac:dyDescent="0.35">
      <c r="A16" s="42" t="s">
        <v>36</v>
      </c>
      <c r="B16" s="43" t="s">
        <v>89</v>
      </c>
      <c r="C16" s="44" t="s">
        <v>90</v>
      </c>
      <c r="D16" s="45" t="s">
        <v>91</v>
      </c>
      <c r="E16" s="46" t="s">
        <v>92</v>
      </c>
      <c r="F16" s="47" t="s">
        <v>93</v>
      </c>
      <c r="G16" s="48" t="s">
        <v>94</v>
      </c>
    </row>
    <row r="17" spans="1:7" ht="79.5" customHeight="1" x14ac:dyDescent="0.35">
      <c r="A17" s="42" t="s">
        <v>38</v>
      </c>
      <c r="B17" s="43" t="s">
        <v>95</v>
      </c>
      <c r="C17" s="44" t="s">
        <v>96</v>
      </c>
      <c r="D17" s="45" t="s">
        <v>97</v>
      </c>
      <c r="E17" s="46" t="s">
        <v>98</v>
      </c>
      <c r="F17" s="47" t="s">
        <v>99</v>
      </c>
      <c r="G17" s="48" t="s">
        <v>100</v>
      </c>
    </row>
    <row r="18" spans="1:7" ht="79.5" customHeight="1" x14ac:dyDescent="0.35">
      <c r="A18" s="42" t="s">
        <v>39</v>
      </c>
      <c r="B18" s="43" t="s">
        <v>101</v>
      </c>
      <c r="C18" s="44" t="s">
        <v>102</v>
      </c>
      <c r="D18" s="45" t="s">
        <v>103</v>
      </c>
      <c r="E18" s="46" t="s">
        <v>104</v>
      </c>
      <c r="F18" s="47" t="s">
        <v>105</v>
      </c>
      <c r="G18" s="48" t="s">
        <v>106</v>
      </c>
    </row>
    <row r="19" spans="1:7" ht="79.5" customHeight="1" x14ac:dyDescent="0.35">
      <c r="A19" s="42" t="s">
        <v>40</v>
      </c>
      <c r="B19" s="43" t="s">
        <v>107</v>
      </c>
      <c r="C19" s="44" t="s">
        <v>108</v>
      </c>
      <c r="D19" s="45" t="s">
        <v>109</v>
      </c>
      <c r="E19" s="46" t="s">
        <v>110</v>
      </c>
      <c r="F19" s="47" t="s">
        <v>111</v>
      </c>
      <c r="G19" s="48" t="s">
        <v>112</v>
      </c>
    </row>
    <row r="20" spans="1:7" ht="79.5" customHeight="1" x14ac:dyDescent="0.35">
      <c r="A20" s="42" t="s">
        <v>41</v>
      </c>
      <c r="B20" s="43" t="s">
        <v>113</v>
      </c>
      <c r="C20" s="44" t="s">
        <v>114</v>
      </c>
      <c r="D20" s="45" t="s">
        <v>115</v>
      </c>
      <c r="E20" s="46" t="s">
        <v>116</v>
      </c>
      <c r="F20" s="47" t="s">
        <v>117</v>
      </c>
      <c r="G20" s="48" t="s">
        <v>118</v>
      </c>
    </row>
    <row r="21" spans="1:7" ht="79.5" customHeight="1" x14ac:dyDescent="0.35">
      <c r="A21" s="42" t="s">
        <v>42</v>
      </c>
      <c r="B21" s="43" t="s">
        <v>119</v>
      </c>
      <c r="C21" s="44" t="s">
        <v>120</v>
      </c>
      <c r="D21" s="45" t="s">
        <v>121</v>
      </c>
      <c r="E21" s="46" t="s">
        <v>122</v>
      </c>
      <c r="F21" s="47" t="s">
        <v>123</v>
      </c>
      <c r="G21" s="48" t="s">
        <v>124</v>
      </c>
    </row>
    <row r="22" spans="1:7" ht="79.5" customHeight="1" x14ac:dyDescent="0.35">
      <c r="A22" s="42" t="s">
        <v>43</v>
      </c>
      <c r="B22" s="43" t="s">
        <v>125</v>
      </c>
      <c r="C22" s="44" t="s">
        <v>126</v>
      </c>
      <c r="D22" s="45" t="s">
        <v>127</v>
      </c>
      <c r="E22" s="46" t="s">
        <v>128</v>
      </c>
      <c r="F22" s="47" t="s">
        <v>129</v>
      </c>
      <c r="G22" s="48" t="s">
        <v>130</v>
      </c>
    </row>
    <row r="23" spans="1:7" ht="79.5" customHeight="1" x14ac:dyDescent="0.35">
      <c r="A23" s="42" t="s">
        <v>44</v>
      </c>
      <c r="B23" s="43" t="s">
        <v>131</v>
      </c>
      <c r="C23" s="44" t="s">
        <v>132</v>
      </c>
      <c r="D23" s="45" t="s">
        <v>133</v>
      </c>
      <c r="E23" s="46" t="s">
        <v>134</v>
      </c>
      <c r="F23" s="47" t="s">
        <v>135</v>
      </c>
      <c r="G23" s="48" t="s">
        <v>136</v>
      </c>
    </row>
    <row r="25" spans="1:7" ht="17.5" x14ac:dyDescent="0.35">
      <c r="A25" s="33" t="s">
        <v>45</v>
      </c>
      <c r="B25" s="34"/>
      <c r="C25" s="34"/>
      <c r="D25" s="34"/>
      <c r="E25" s="34"/>
      <c r="F25" s="34"/>
      <c r="G25" s="34"/>
    </row>
    <row r="26" spans="1:7" x14ac:dyDescent="0.35">
      <c r="A26" s="35" t="s">
        <v>21</v>
      </c>
      <c r="B26" s="36" t="s">
        <v>55</v>
      </c>
      <c r="C26" s="37" t="s">
        <v>56</v>
      </c>
      <c r="D26" s="38" t="s">
        <v>57</v>
      </c>
      <c r="E26" s="39" t="s">
        <v>58</v>
      </c>
      <c r="F26" s="40" t="s">
        <v>59</v>
      </c>
      <c r="G26" s="41" t="s">
        <v>60</v>
      </c>
    </row>
    <row r="27" spans="1:7" ht="79.5" customHeight="1" x14ac:dyDescent="0.35">
      <c r="A27" s="42" t="s">
        <v>46</v>
      </c>
      <c r="B27" s="43" t="s">
        <v>137</v>
      </c>
      <c r="C27" s="44" t="s">
        <v>138</v>
      </c>
      <c r="D27" s="45" t="s">
        <v>139</v>
      </c>
      <c r="E27" s="46" t="s">
        <v>140</v>
      </c>
      <c r="F27" s="47" t="s">
        <v>141</v>
      </c>
      <c r="G27" s="48" t="s">
        <v>142</v>
      </c>
    </row>
    <row r="28" spans="1:7" ht="79.5" customHeight="1" x14ac:dyDescent="0.35">
      <c r="A28" s="42" t="s">
        <v>48</v>
      </c>
      <c r="B28" s="43" t="s">
        <v>143</v>
      </c>
      <c r="C28" s="44" t="s">
        <v>144</v>
      </c>
      <c r="D28" s="45" t="s">
        <v>145</v>
      </c>
      <c r="E28" s="46" t="s">
        <v>146</v>
      </c>
      <c r="F28" s="47" t="s">
        <v>147</v>
      </c>
      <c r="G28" s="48" t="s">
        <v>148</v>
      </c>
    </row>
    <row r="29" spans="1:7" ht="79.5" customHeight="1" x14ac:dyDescent="0.35">
      <c r="A29" s="42" t="s">
        <v>49</v>
      </c>
      <c r="B29" s="43" t="s">
        <v>149</v>
      </c>
      <c r="C29" s="44" t="s">
        <v>150</v>
      </c>
      <c r="D29" s="45" t="s">
        <v>151</v>
      </c>
      <c r="E29" s="46" t="s">
        <v>152</v>
      </c>
      <c r="F29" s="47" t="s">
        <v>153</v>
      </c>
      <c r="G29" s="48" t="s">
        <v>154</v>
      </c>
    </row>
    <row r="32" spans="1:7" ht="17.5" x14ac:dyDescent="0.35">
      <c r="A32" s="33" t="s">
        <v>155</v>
      </c>
      <c r="B32" s="34"/>
      <c r="C32" s="34"/>
      <c r="D32" s="34"/>
      <c r="E32" s="34"/>
      <c r="F32" s="34"/>
      <c r="G32" s="34"/>
    </row>
    <row r="33" spans="1:3" x14ac:dyDescent="0.35">
      <c r="A33" s="35" t="s">
        <v>156</v>
      </c>
      <c r="B33" s="35" t="s">
        <v>157</v>
      </c>
      <c r="C33" s="35" t="s">
        <v>158</v>
      </c>
    </row>
    <row r="34" spans="1:3" x14ac:dyDescent="0.35">
      <c r="A34" s="49" t="s">
        <v>159</v>
      </c>
      <c r="B34" s="50" t="s">
        <v>160</v>
      </c>
      <c r="C34" s="49" t="s">
        <v>161</v>
      </c>
    </row>
    <row r="35" spans="1:3" x14ac:dyDescent="0.35">
      <c r="A35" s="49" t="s">
        <v>162</v>
      </c>
      <c r="B35" s="50" t="s">
        <v>163</v>
      </c>
      <c r="C35" s="49" t="s">
        <v>164</v>
      </c>
    </row>
    <row r="36" spans="1:3" x14ac:dyDescent="0.35">
      <c r="A36" s="49" t="s">
        <v>165</v>
      </c>
      <c r="B36" s="50" t="s">
        <v>163</v>
      </c>
      <c r="C36" s="49" t="s">
        <v>166</v>
      </c>
    </row>
    <row r="37" spans="1:3" x14ac:dyDescent="0.35">
      <c r="A37" s="49" t="s">
        <v>167</v>
      </c>
      <c r="B37" s="50" t="s">
        <v>163</v>
      </c>
      <c r="C37" s="49" t="s">
        <v>168</v>
      </c>
    </row>
    <row r="38" spans="1:3" x14ac:dyDescent="0.35">
      <c r="A38" s="49" t="s">
        <v>169</v>
      </c>
      <c r="B38" s="50" t="s">
        <v>163</v>
      </c>
      <c r="C38" s="49" t="s">
        <v>170</v>
      </c>
    </row>
    <row r="39" spans="1:3" x14ac:dyDescent="0.35">
      <c r="A39" s="49" t="s">
        <v>171</v>
      </c>
      <c r="B39" s="50" t="s">
        <v>163</v>
      </c>
      <c r="C39" s="49" t="s">
        <v>172</v>
      </c>
    </row>
    <row r="41" spans="1:3" x14ac:dyDescent="0.35">
      <c r="A41" s="51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WEB2</vt:lpstr>
      <vt:lpstr>LB2</vt:lpstr>
      <vt:lpstr>Kriterien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Dumermuth</dc:creator>
  <dc:description/>
  <cp:lastModifiedBy>Nicolas Dumermuth</cp:lastModifiedBy>
  <cp:revision>0</cp:revision>
  <dcterms:created xsi:type="dcterms:W3CDTF">2015-06-05T18:19:34Z</dcterms:created>
  <dcterms:modified xsi:type="dcterms:W3CDTF">2025-12-26T13:45:10Z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0x0101006AD258172CF74D40BC94029363880447</vt:lpwstr>
  </property>
</Properties>
</file>